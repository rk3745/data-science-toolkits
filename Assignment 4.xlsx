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3dd84e8dab757e/Documents/"/>
    </mc:Choice>
  </mc:AlternateContent>
  <xr:revisionPtr revIDLastSave="0" documentId="8_{400A3310-F252-4DCE-9330-76A565EABFE7}" xr6:coauthVersionLast="47" xr6:coauthVersionMax="47" xr10:uidLastSave="{00000000-0000-0000-0000-000000000000}"/>
  <bookViews>
    <workbookView xWindow="-108" yWindow="-108" windowWidth="23256" windowHeight="12456" activeTab="1" xr2:uid="{57E1E550-1BCD-474A-93BB-07591A5CAA45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5" i="1"/>
  <c r="O21" i="2"/>
  <c r="P21" i="2"/>
  <c r="N21" i="2"/>
  <c r="O15" i="2"/>
  <c r="P15" i="2"/>
  <c r="N15" i="2"/>
  <c r="O10" i="2"/>
  <c r="P10" i="2"/>
  <c r="N10" i="2"/>
  <c r="O4" i="2"/>
  <c r="P4" i="2"/>
  <c r="N4" i="2"/>
  <c r="N26" i="1"/>
  <c r="N27" i="1"/>
  <c r="N25" i="1"/>
  <c r="N17" i="1"/>
  <c r="N18" i="1"/>
  <c r="N16" i="1"/>
  <c r="F17" i="1"/>
  <c r="F18" i="1"/>
  <c r="F16" i="1"/>
</calcChain>
</file>

<file path=xl/sharedStrings.xml><?xml version="1.0" encoding="utf-8"?>
<sst xmlns="http://schemas.openxmlformats.org/spreadsheetml/2006/main" count="146" uniqueCount="53">
  <si>
    <t>Student Details</t>
  </si>
  <si>
    <t xml:space="preserve">Name </t>
  </si>
  <si>
    <t>Department_id</t>
  </si>
  <si>
    <t>Class_teacher</t>
  </si>
  <si>
    <t>Rahul</t>
  </si>
  <si>
    <t>Abhishek</t>
  </si>
  <si>
    <t>Prateek</t>
  </si>
  <si>
    <t>Garvit</t>
  </si>
  <si>
    <t>D1</t>
  </si>
  <si>
    <t>D2</t>
  </si>
  <si>
    <t>D3</t>
  </si>
  <si>
    <t>D4</t>
  </si>
  <si>
    <t>Mr. Dheeraj</t>
  </si>
  <si>
    <t>Mr. Gaurav</t>
  </si>
  <si>
    <t>Mr. Abhishek</t>
  </si>
  <si>
    <t>Ms. Neema</t>
  </si>
  <si>
    <t>Department HOD's</t>
  </si>
  <si>
    <t>HOD</t>
  </si>
  <si>
    <t>Dr. Ashish Kumar</t>
  </si>
  <si>
    <t>Dr. Satish kumar</t>
  </si>
  <si>
    <t>Dr. Patil</t>
  </si>
  <si>
    <t>Department Details</t>
  </si>
  <si>
    <t>Department</t>
  </si>
  <si>
    <t>Major Subjects</t>
  </si>
  <si>
    <t>Dr. Ashish kumar</t>
  </si>
  <si>
    <t>Mathematics</t>
  </si>
  <si>
    <t>Calculus</t>
  </si>
  <si>
    <t>Physics</t>
  </si>
  <si>
    <t>Data Science</t>
  </si>
  <si>
    <t>Quantum physics</t>
  </si>
  <si>
    <t>Python</t>
  </si>
  <si>
    <t>Subject Details</t>
  </si>
  <si>
    <t>Credits</t>
  </si>
  <si>
    <t>Duration</t>
  </si>
  <si>
    <t>Vlookup</t>
  </si>
  <si>
    <t>NAME</t>
  </si>
  <si>
    <t>Q1.(iii) Using department id find the major subject.</t>
  </si>
  <si>
    <t>Dept_id</t>
  </si>
  <si>
    <t>Q1.(i) Prepare a VLOOKUP and find the total duration of student engaged in class to pass their respective class.</t>
  </si>
  <si>
    <t>Q1.(ii) Using name of student find the HOD.</t>
  </si>
  <si>
    <t>Major_subjects</t>
  </si>
  <si>
    <t>Q1.(iv) Using name of department find the credit.</t>
  </si>
  <si>
    <t>Dept_name</t>
  </si>
  <si>
    <t>Q2.(ii) Using name of student find the HOD.</t>
  </si>
  <si>
    <t>Table_01: Student_Info</t>
  </si>
  <si>
    <t>Table_02: Department_Info</t>
  </si>
  <si>
    <t>Table_03: Department_Details</t>
  </si>
  <si>
    <t>Table_04: Major_Subjet_Details</t>
  </si>
  <si>
    <t>Q2.(i) Prepare a HLOOKUP and find the total duration of student engaged in class to pass their respective class.</t>
  </si>
  <si>
    <t>Hlookup</t>
  </si>
  <si>
    <t>Q2.(iii) Using department id find the major subject.</t>
  </si>
  <si>
    <t>Q2.(iv) Using name of department find the credit.</t>
  </si>
  <si>
    <t>Major_subject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</si>
</sst>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lgerian"/>
      <family val="5"/>
    </font>
    <font>
      <b/>
      <sz val="16"/>
      <color theme="1"/>
      <name val="Algerian"/>
      <family val="5"/>
    </font>
    <font>
      <b/>
      <sz val="10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BB5DD"/>
        <bgColor indexed="64"/>
      </patternFill>
    </fill>
    <fill>
      <patternFill patternType="solid">
        <fgColor rgb="FFF4AF80"/>
        <bgColor indexed="64"/>
      </patternFill>
    </fill>
    <fill>
      <patternFill patternType="solid">
        <fgColor rgb="FFFF99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6" fillId="4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ACC0-C5C0-4A20-9A69-8AC3119C9EEC}">
  <dimension ref="A1:Q27"/>
  <sheetViews>
    <sheetView workbookViewId="0">
      <selection activeCell="E24" sqref="E24:F27"/>
    </sheetView>
  </sheetViews>
  <sheetFormatPr defaultRowHeight="14.4" x14ac:dyDescent="0.3"/>
  <cols>
    <col min="2" max="2" width="13.5546875" bestFit="1" customWidth="1"/>
    <col min="3" max="3" width="16" bestFit="1" customWidth="1"/>
    <col min="5" max="6" width="14.88671875" bestFit="1" customWidth="1"/>
    <col min="7" max="7" width="14.77734375" bestFit="1" customWidth="1"/>
    <col min="8" max="8" width="13.5546875" bestFit="1" customWidth="1"/>
    <col min="9" max="9" width="14.77734375" bestFit="1" customWidth="1"/>
    <col min="10" max="10" width="14.6640625" bestFit="1" customWidth="1"/>
    <col min="11" max="11" width="11.44140625" bestFit="1" customWidth="1"/>
    <col min="12" max="12" width="14.88671875" bestFit="1" customWidth="1"/>
    <col min="13" max="13" width="11.5546875" bestFit="1" customWidth="1"/>
    <col min="14" max="14" width="14.77734375" bestFit="1" customWidth="1"/>
    <col min="15" max="15" width="14.88671875" bestFit="1" customWidth="1"/>
    <col min="16" max="16" width="7.109375" bestFit="1" customWidth="1"/>
    <col min="17" max="17" width="8.109375" bestFit="1" customWidth="1"/>
  </cols>
  <sheetData>
    <row r="1" spans="1:17" ht="21" customHeight="1" x14ac:dyDescent="0.3">
      <c r="A1" s="2" t="s">
        <v>0</v>
      </c>
      <c r="B1" s="2"/>
      <c r="C1" s="2"/>
      <c r="F1" s="2" t="s">
        <v>16</v>
      </c>
      <c r="G1" s="2"/>
      <c r="J1" s="2" t="s">
        <v>21</v>
      </c>
      <c r="K1" s="2"/>
      <c r="L1" s="2"/>
      <c r="O1" s="8" t="s">
        <v>31</v>
      </c>
      <c r="P1" s="8"/>
      <c r="Q1" s="8"/>
    </row>
    <row r="2" spans="1:17" x14ac:dyDescent="0.3">
      <c r="A2" s="2"/>
      <c r="B2" s="2"/>
      <c r="C2" s="2"/>
      <c r="F2" s="2"/>
      <c r="G2" s="2"/>
      <c r="J2" s="2"/>
      <c r="K2" s="2"/>
      <c r="L2" s="2"/>
      <c r="O2" s="8"/>
      <c r="P2" s="8"/>
      <c r="Q2" s="8"/>
    </row>
    <row r="3" spans="1:17" x14ac:dyDescent="0.3">
      <c r="A3" s="3" t="s">
        <v>1</v>
      </c>
      <c r="B3" s="3" t="s">
        <v>2</v>
      </c>
      <c r="C3" s="3" t="s">
        <v>3</v>
      </c>
      <c r="F3" s="5" t="s">
        <v>2</v>
      </c>
      <c r="G3" s="5" t="s">
        <v>17</v>
      </c>
      <c r="J3" s="3" t="s">
        <v>17</v>
      </c>
      <c r="K3" s="3" t="s">
        <v>22</v>
      </c>
      <c r="L3" s="3" t="s">
        <v>23</v>
      </c>
      <c r="O3" s="5" t="s">
        <v>23</v>
      </c>
      <c r="P3" s="5" t="s">
        <v>32</v>
      </c>
      <c r="Q3" s="5" t="s">
        <v>33</v>
      </c>
    </row>
    <row r="4" spans="1:17" x14ac:dyDescent="0.3">
      <c r="A4" s="4" t="s">
        <v>4</v>
      </c>
      <c r="B4" s="4" t="s">
        <v>8</v>
      </c>
      <c r="C4" s="4" t="s">
        <v>12</v>
      </c>
      <c r="F4" s="6" t="s">
        <v>8</v>
      </c>
      <c r="G4" s="6" t="s">
        <v>18</v>
      </c>
      <c r="J4" s="4" t="s">
        <v>24</v>
      </c>
      <c r="K4" s="4" t="s">
        <v>25</v>
      </c>
      <c r="L4" s="4" t="s">
        <v>26</v>
      </c>
      <c r="O4" s="6" t="s">
        <v>26</v>
      </c>
      <c r="P4" s="4">
        <v>120</v>
      </c>
      <c r="Q4" s="4">
        <v>3</v>
      </c>
    </row>
    <row r="5" spans="1:17" x14ac:dyDescent="0.3">
      <c r="A5" s="4" t="s">
        <v>5</v>
      </c>
      <c r="B5" s="4" t="s">
        <v>9</v>
      </c>
      <c r="C5" s="4" t="s">
        <v>13</v>
      </c>
      <c r="F5" s="6" t="s">
        <v>9</v>
      </c>
      <c r="G5" s="6" t="s">
        <v>19</v>
      </c>
      <c r="J5" s="4" t="s">
        <v>19</v>
      </c>
      <c r="K5" s="4" t="s">
        <v>27</v>
      </c>
      <c r="L5" s="4" t="s">
        <v>29</v>
      </c>
      <c r="O5" s="6" t="s">
        <v>29</v>
      </c>
      <c r="P5" s="4">
        <v>110</v>
      </c>
      <c r="Q5" s="4">
        <v>4</v>
      </c>
    </row>
    <row r="6" spans="1:17" x14ac:dyDescent="0.3">
      <c r="A6" s="4" t="s">
        <v>6</v>
      </c>
      <c r="B6" s="4" t="s">
        <v>10</v>
      </c>
      <c r="C6" s="4" t="s">
        <v>14</v>
      </c>
      <c r="F6" s="6" t="s">
        <v>10</v>
      </c>
      <c r="G6" s="6" t="s">
        <v>20</v>
      </c>
      <c r="J6" s="4" t="s">
        <v>20</v>
      </c>
      <c r="K6" s="4" t="s">
        <v>28</v>
      </c>
      <c r="L6" s="4" t="s">
        <v>30</v>
      </c>
      <c r="O6" s="6" t="s">
        <v>30</v>
      </c>
      <c r="P6" s="4">
        <v>130</v>
      </c>
      <c r="Q6" s="4">
        <v>4</v>
      </c>
    </row>
    <row r="7" spans="1:17" x14ac:dyDescent="0.3">
      <c r="A7" s="4" t="s">
        <v>7</v>
      </c>
      <c r="B7" s="4" t="s">
        <v>11</v>
      </c>
      <c r="C7" s="4" t="s">
        <v>15</v>
      </c>
    </row>
    <row r="12" spans="1:17" ht="15" thickBot="1" x14ac:dyDescent="0.35"/>
    <row r="13" spans="1:17" ht="32.4" customHeight="1" thickBot="1" x14ac:dyDescent="0.35">
      <c r="B13" s="12" t="s">
        <v>38</v>
      </c>
      <c r="C13" s="13"/>
      <c r="D13" s="13"/>
      <c r="E13" s="16"/>
      <c r="F13" s="16"/>
      <c r="G13" s="13"/>
      <c r="H13" s="13"/>
      <c r="I13" s="14"/>
      <c r="L13" s="9" t="s">
        <v>39</v>
      </c>
      <c r="M13" s="11"/>
      <c r="N13" s="11"/>
      <c r="O13" s="10"/>
    </row>
    <row r="14" spans="1:17" ht="18" x14ac:dyDescent="0.35">
      <c r="D14" s="15"/>
      <c r="E14" s="17" t="s">
        <v>34</v>
      </c>
      <c r="F14" s="17"/>
      <c r="M14" s="17" t="s">
        <v>34</v>
      </c>
      <c r="N14" s="17"/>
    </row>
    <row r="15" spans="1:17" x14ac:dyDescent="0.3">
      <c r="E15" s="3" t="s">
        <v>35</v>
      </c>
      <c r="F15" s="3" t="s">
        <v>33</v>
      </c>
      <c r="I15" s="1"/>
      <c r="M15" s="3" t="s">
        <v>35</v>
      </c>
      <c r="N15" s="3" t="s">
        <v>17</v>
      </c>
    </row>
    <row r="16" spans="1:17" x14ac:dyDescent="0.3">
      <c r="E16" s="4" t="s">
        <v>4</v>
      </c>
      <c r="F16" s="7">
        <f>VLOOKUP(VLOOKUP(VLOOKUP(VLOOKUP(E16,A3:B7,2,0),F3:G6,2,0),J3:L6,3,0),O3:Q6,3,0)</f>
        <v>3</v>
      </c>
      <c r="M16" s="4" t="s">
        <v>4</v>
      </c>
      <c r="N16" s="7" t="str">
        <f>VLOOKUP(VLOOKUP(M16,A3:C7,2,0),F3:G6,2,0)</f>
        <v>Dr. Ashish Kumar</v>
      </c>
    </row>
    <row r="17" spans="4:15" x14ac:dyDescent="0.3">
      <c r="E17" s="4" t="s">
        <v>5</v>
      </c>
      <c r="F17" s="7">
        <f t="shared" ref="F17:F18" si="0">VLOOKUP(VLOOKUP(VLOOKUP(VLOOKUP(E17,A4:B8,2,0),F4:G7,2,0),J4:L7,3,0),O4:Q7,3,0)</f>
        <v>4</v>
      </c>
      <c r="M17" s="4" t="s">
        <v>5</v>
      </c>
      <c r="N17" s="7" t="str">
        <f t="shared" ref="N17:N18" si="1">VLOOKUP(VLOOKUP(M17,A4:C8,2,0),F4:G7,2,0)</f>
        <v>Dr. Satish kumar</v>
      </c>
    </row>
    <row r="18" spans="4:15" x14ac:dyDescent="0.3">
      <c r="E18" s="4" t="s">
        <v>6</v>
      </c>
      <c r="F18" s="7">
        <f t="shared" si="0"/>
        <v>4</v>
      </c>
      <c r="M18" s="4" t="s">
        <v>6</v>
      </c>
      <c r="N18" s="7" t="str">
        <f t="shared" si="1"/>
        <v>Dr. Patil</v>
      </c>
    </row>
    <row r="21" spans="4:15" ht="15" thickBot="1" x14ac:dyDescent="0.35"/>
    <row r="22" spans="4:15" ht="32.4" customHeight="1" thickBot="1" x14ac:dyDescent="0.35">
      <c r="D22" s="9" t="s">
        <v>36</v>
      </c>
      <c r="E22" s="11"/>
      <c r="F22" s="11"/>
      <c r="G22" s="10"/>
      <c r="L22" s="9" t="s">
        <v>41</v>
      </c>
      <c r="M22" s="11"/>
      <c r="N22" s="11"/>
      <c r="O22" s="10"/>
    </row>
    <row r="23" spans="4:15" ht="18" x14ac:dyDescent="0.35">
      <c r="E23" s="17" t="s">
        <v>34</v>
      </c>
      <c r="F23" s="17"/>
      <c r="M23" s="17" t="s">
        <v>34</v>
      </c>
      <c r="N23" s="17"/>
    </row>
    <row r="24" spans="4:15" x14ac:dyDescent="0.3">
      <c r="E24" s="3" t="s">
        <v>37</v>
      </c>
      <c r="F24" s="3" t="s">
        <v>52</v>
      </c>
      <c r="M24" s="3" t="s">
        <v>42</v>
      </c>
      <c r="N24" s="3" t="s">
        <v>32</v>
      </c>
    </row>
    <row r="25" spans="4:15" x14ac:dyDescent="0.3">
      <c r="E25" s="6" t="s">
        <v>8</v>
      </c>
      <c r="F25" s="7" t="str">
        <f>VLOOKUP(VLOOKUP(E25,F3:G6,2,0),J3:L6,3,0)</f>
        <v>Calculus</v>
      </c>
      <c r="M25" s="4" t="s">
        <v>25</v>
      </c>
      <c r="N25" s="4">
        <f>VLOOKUP(VLOOKUP(M25,K3:L6,2,0),O3:Q6,2,0)</f>
        <v>120</v>
      </c>
    </row>
    <row r="26" spans="4:15" x14ac:dyDescent="0.3">
      <c r="E26" s="6" t="s">
        <v>9</v>
      </c>
      <c r="F26" s="7" t="str">
        <f t="shared" ref="F26:F27" si="2">VLOOKUP(VLOOKUP(E26,F4:G7,2,0),J4:L7,3,0)</f>
        <v>Quantum physics</v>
      </c>
      <c r="M26" s="4" t="s">
        <v>27</v>
      </c>
      <c r="N26" s="4">
        <f t="shared" ref="N26:N27" si="3">VLOOKUP(VLOOKUP(M26,K4:L7,2,0),O4:Q7,2,0)</f>
        <v>110</v>
      </c>
    </row>
    <row r="27" spans="4:15" x14ac:dyDescent="0.3">
      <c r="E27" s="6" t="s">
        <v>10</v>
      </c>
      <c r="F27" s="7" t="str">
        <f t="shared" si="2"/>
        <v>Python</v>
      </c>
      <c r="M27" s="4" t="s">
        <v>28</v>
      </c>
      <c r="N27" s="4">
        <f t="shared" si="3"/>
        <v>130</v>
      </c>
    </row>
  </sheetData>
  <mergeCells count="12">
    <mergeCell ref="L22:O22"/>
    <mergeCell ref="M23:N23"/>
    <mergeCell ref="D22:G22"/>
    <mergeCell ref="E23:F23"/>
    <mergeCell ref="B13:I13"/>
    <mergeCell ref="E14:F14"/>
    <mergeCell ref="L13:O13"/>
    <mergeCell ref="M14:N14"/>
    <mergeCell ref="A1:C2"/>
    <mergeCell ref="F1:G2"/>
    <mergeCell ref="J1:L2"/>
    <mergeCell ref="O1:Q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769A-F33B-4C70-9C6A-DFA81A40B79B}">
  <dimension ref="A1:R21"/>
  <sheetViews>
    <sheetView tabSelected="1" workbookViewId="0">
      <selection activeCell="G14" sqref="G14"/>
    </sheetView>
  </sheetViews>
  <sheetFormatPr defaultRowHeight="14.4" x14ac:dyDescent="0.3"/>
  <cols>
    <col min="1" max="1" width="13.5546875" bestFit="1" customWidth="1"/>
    <col min="2" max="2" width="14.77734375" bestFit="1" customWidth="1"/>
    <col min="3" max="3" width="14.88671875" bestFit="1" customWidth="1"/>
    <col min="4" max="4" width="11.5546875" bestFit="1" customWidth="1"/>
    <col min="5" max="5" width="10.109375" bestFit="1" customWidth="1"/>
    <col min="13" max="13" width="13.6640625" bestFit="1" customWidth="1"/>
    <col min="14" max="14" width="14.77734375" bestFit="1" customWidth="1"/>
    <col min="15" max="15" width="14.88671875" bestFit="1" customWidth="1"/>
    <col min="16" max="16" width="11.5546875" bestFit="1" customWidth="1"/>
  </cols>
  <sheetData>
    <row r="1" spans="1:18" ht="28.8" customHeight="1" thickBot="1" x14ac:dyDescent="0.35">
      <c r="A1" s="19" t="s">
        <v>44</v>
      </c>
      <c r="B1" s="20"/>
      <c r="C1" s="20"/>
      <c r="D1" s="20"/>
      <c r="E1" s="21"/>
      <c r="K1" s="22" t="s">
        <v>48</v>
      </c>
      <c r="L1" s="23"/>
      <c r="M1" s="23"/>
      <c r="N1" s="23"/>
      <c r="O1" s="23"/>
      <c r="P1" s="23"/>
      <c r="Q1" s="23"/>
      <c r="R1" s="24"/>
    </row>
    <row r="2" spans="1:18" ht="23.4" customHeight="1" thickBot="1" x14ac:dyDescent="0.35">
      <c r="A2" s="3" t="s">
        <v>1</v>
      </c>
      <c r="B2" s="4" t="s">
        <v>4</v>
      </c>
      <c r="C2" s="4" t="s">
        <v>5</v>
      </c>
      <c r="D2" s="4" t="s">
        <v>6</v>
      </c>
      <c r="E2" s="4" t="s">
        <v>7</v>
      </c>
      <c r="M2" s="25" t="s">
        <v>49</v>
      </c>
      <c r="N2" s="26"/>
      <c r="O2" s="26"/>
      <c r="P2" s="27"/>
    </row>
    <row r="3" spans="1:18" x14ac:dyDescent="0.3">
      <c r="A3" s="3" t="s">
        <v>2</v>
      </c>
      <c r="B3" s="4" t="s">
        <v>8</v>
      </c>
      <c r="C3" s="4" t="s">
        <v>9</v>
      </c>
      <c r="D3" s="4" t="s">
        <v>10</v>
      </c>
      <c r="E3" s="4" t="s">
        <v>11</v>
      </c>
      <c r="M3" s="3" t="s">
        <v>35</v>
      </c>
      <c r="N3" s="4" t="s">
        <v>4</v>
      </c>
      <c r="O3" s="4" t="s">
        <v>5</v>
      </c>
      <c r="P3" s="4" t="s">
        <v>6</v>
      </c>
    </row>
    <row r="4" spans="1:18" x14ac:dyDescent="0.3">
      <c r="A4" s="3" t="s">
        <v>3</v>
      </c>
      <c r="B4" s="4" t="s">
        <v>12</v>
      </c>
      <c r="C4" s="4" t="s">
        <v>13</v>
      </c>
      <c r="D4" s="4" t="s">
        <v>14</v>
      </c>
      <c r="E4" s="4" t="s">
        <v>15</v>
      </c>
      <c r="M4" s="3" t="s">
        <v>33</v>
      </c>
      <c r="N4" s="7">
        <f>HLOOKUP(HLOOKUP(HLOOKUP(HLOOKUP(N3,A2:E4,2,0),A8:D9,2,0),A13:D15,3,0),A19:D21,3,0)</f>
        <v>3</v>
      </c>
      <c r="O4" s="7">
        <f t="shared" ref="O4:P4" si="0">HLOOKUP(HLOOKUP(HLOOKUP(HLOOKUP(O3,B2:F4,2,0),B8:E9,2,0),B13:E15,3,0),B19:E21,3,0)</f>
        <v>4</v>
      </c>
      <c r="P4" s="7">
        <f t="shared" si="0"/>
        <v>4</v>
      </c>
    </row>
    <row r="6" spans="1:18" ht="15" thickBot="1" x14ac:dyDescent="0.35"/>
    <row r="7" spans="1:18" ht="45.6" customHeight="1" thickBot="1" x14ac:dyDescent="0.35">
      <c r="A7" s="19" t="s">
        <v>45</v>
      </c>
      <c r="B7" s="20"/>
      <c r="C7" s="20"/>
      <c r="D7" s="20"/>
      <c r="L7" s="28" t="s">
        <v>43</v>
      </c>
      <c r="M7" s="29"/>
      <c r="N7" s="29"/>
      <c r="O7" s="29"/>
      <c r="P7" s="29"/>
      <c r="Q7" s="30"/>
    </row>
    <row r="8" spans="1:18" ht="23.4" thickBot="1" x14ac:dyDescent="0.35">
      <c r="A8" s="5" t="s">
        <v>2</v>
      </c>
      <c r="B8" s="6" t="s">
        <v>8</v>
      </c>
      <c r="C8" s="6" t="s">
        <v>9</v>
      </c>
      <c r="D8" s="6" t="s">
        <v>10</v>
      </c>
      <c r="M8" s="25" t="s">
        <v>49</v>
      </c>
      <c r="N8" s="26"/>
      <c r="O8" s="26"/>
      <c r="P8" s="27"/>
    </row>
    <row r="9" spans="1:18" x14ac:dyDescent="0.3">
      <c r="A9" s="5" t="s">
        <v>17</v>
      </c>
      <c r="B9" s="6" t="s">
        <v>18</v>
      </c>
      <c r="C9" s="6" t="s">
        <v>19</v>
      </c>
      <c r="D9" s="6" t="s">
        <v>20</v>
      </c>
      <c r="M9" s="3" t="s">
        <v>35</v>
      </c>
      <c r="N9" s="4" t="s">
        <v>4</v>
      </c>
      <c r="O9" s="4" t="s">
        <v>5</v>
      </c>
      <c r="P9" s="4" t="s">
        <v>6</v>
      </c>
    </row>
    <row r="10" spans="1:18" x14ac:dyDescent="0.3">
      <c r="M10" s="3" t="s">
        <v>17</v>
      </c>
      <c r="N10" s="4" t="str">
        <f>HLOOKUP(HLOOKUP(N9,A2:E4,2,0),A8:D9,2,0)</f>
        <v>Dr. Ashish Kumar</v>
      </c>
      <c r="O10" s="4" t="str">
        <f t="shared" ref="O10:P10" si="1">HLOOKUP(HLOOKUP(O9,B2:F4,2,0),B8:E9,2,0)</f>
        <v>Dr. Satish kumar</v>
      </c>
      <c r="P10" s="4" t="str">
        <f t="shared" si="1"/>
        <v>Dr. Patil</v>
      </c>
    </row>
    <row r="11" spans="1:18" ht="15" thickBot="1" x14ac:dyDescent="0.35"/>
    <row r="12" spans="1:18" ht="45.6" customHeight="1" thickBot="1" x14ac:dyDescent="0.35">
      <c r="A12" s="19" t="s">
        <v>46</v>
      </c>
      <c r="B12" s="20"/>
      <c r="C12" s="20"/>
      <c r="D12" s="21"/>
      <c r="L12" s="28" t="s">
        <v>50</v>
      </c>
      <c r="M12" s="29"/>
      <c r="N12" s="29"/>
      <c r="O12" s="29"/>
      <c r="P12" s="29"/>
      <c r="Q12" s="30"/>
    </row>
    <row r="13" spans="1:18" ht="23.4" thickBot="1" x14ac:dyDescent="0.35">
      <c r="A13" s="3" t="s">
        <v>17</v>
      </c>
      <c r="B13" s="4" t="s">
        <v>24</v>
      </c>
      <c r="C13" s="4" t="s">
        <v>19</v>
      </c>
      <c r="D13" s="4" t="s">
        <v>20</v>
      </c>
      <c r="M13" s="25" t="s">
        <v>49</v>
      </c>
      <c r="N13" s="26"/>
      <c r="O13" s="26"/>
      <c r="P13" s="27"/>
    </row>
    <row r="14" spans="1:18" x14ac:dyDescent="0.3">
      <c r="A14" s="3" t="s">
        <v>22</v>
      </c>
      <c r="B14" s="4" t="s">
        <v>25</v>
      </c>
      <c r="C14" s="4" t="s">
        <v>27</v>
      </c>
      <c r="D14" s="4" t="s">
        <v>28</v>
      </c>
      <c r="M14" s="18" t="s">
        <v>37</v>
      </c>
      <c r="N14" s="4" t="s">
        <v>8</v>
      </c>
      <c r="O14" s="4" t="s">
        <v>9</v>
      </c>
      <c r="P14" s="4" t="s">
        <v>10</v>
      </c>
    </row>
    <row r="15" spans="1:18" x14ac:dyDescent="0.3">
      <c r="A15" s="3" t="s">
        <v>23</v>
      </c>
      <c r="B15" s="4" t="s">
        <v>26</v>
      </c>
      <c r="C15" s="4" t="s">
        <v>29</v>
      </c>
      <c r="D15" s="4" t="s">
        <v>30</v>
      </c>
      <c r="M15" s="18" t="s">
        <v>40</v>
      </c>
      <c r="N15" s="4" t="str">
        <f>HLOOKUP(HLOOKUP(N14,A8:D9,2,0),A13:D15,3,0)</f>
        <v>Calculus</v>
      </c>
      <c r="O15" s="4" t="str">
        <f t="shared" ref="O15:P15" si="2">HLOOKUP(HLOOKUP(O14,B8:E9,2,0),B13:E15,3,0)</f>
        <v>Quantum physics</v>
      </c>
      <c r="P15" s="4" t="str">
        <f t="shared" si="2"/>
        <v>Python</v>
      </c>
    </row>
    <row r="17" spans="1:17" ht="15" thickBot="1" x14ac:dyDescent="0.35"/>
    <row r="18" spans="1:17" ht="45.6" customHeight="1" thickBot="1" x14ac:dyDescent="0.35">
      <c r="A18" s="19" t="s">
        <v>47</v>
      </c>
      <c r="B18" s="20"/>
      <c r="C18" s="20"/>
      <c r="D18" s="21"/>
      <c r="L18" s="28" t="s">
        <v>51</v>
      </c>
      <c r="M18" s="29"/>
      <c r="N18" s="29"/>
      <c r="O18" s="29"/>
      <c r="P18" s="29"/>
      <c r="Q18" s="30"/>
    </row>
    <row r="19" spans="1:17" ht="23.4" thickBot="1" x14ac:dyDescent="0.35">
      <c r="A19" s="5" t="s">
        <v>23</v>
      </c>
      <c r="B19" s="6" t="s">
        <v>26</v>
      </c>
      <c r="C19" s="6" t="s">
        <v>29</v>
      </c>
      <c r="D19" s="6" t="s">
        <v>30</v>
      </c>
      <c r="M19" s="25" t="s">
        <v>49</v>
      </c>
      <c r="N19" s="31"/>
      <c r="O19" s="31"/>
      <c r="P19" s="32"/>
    </row>
    <row r="20" spans="1:17" x14ac:dyDescent="0.3">
      <c r="A20" s="5" t="s">
        <v>32</v>
      </c>
      <c r="B20" s="4">
        <v>120</v>
      </c>
      <c r="C20" s="4">
        <v>110</v>
      </c>
      <c r="D20" s="4">
        <v>130</v>
      </c>
      <c r="M20" s="3" t="s">
        <v>42</v>
      </c>
      <c r="N20" s="4" t="s">
        <v>25</v>
      </c>
      <c r="O20" s="4" t="s">
        <v>27</v>
      </c>
      <c r="P20" s="4" t="s">
        <v>28</v>
      </c>
    </row>
    <row r="21" spans="1:17" x14ac:dyDescent="0.3">
      <c r="A21" s="5" t="s">
        <v>33</v>
      </c>
      <c r="B21" s="4">
        <v>3</v>
      </c>
      <c r="C21" s="4">
        <v>4</v>
      </c>
      <c r="D21" s="4">
        <v>4</v>
      </c>
      <c r="M21" s="3" t="s">
        <v>32</v>
      </c>
      <c r="N21" s="4">
        <f>HLOOKUP(HLOOKUP(N20,A14:D15,2,0),A19:D21,2,0)</f>
        <v>120</v>
      </c>
      <c r="O21" s="4">
        <f t="shared" ref="O21:P21" si="3">HLOOKUP(HLOOKUP(O20,B14:E15,2,0),B19:E21,2,0)</f>
        <v>110</v>
      </c>
      <c r="P21" s="4">
        <f t="shared" si="3"/>
        <v>130</v>
      </c>
    </row>
  </sheetData>
  <mergeCells count="12">
    <mergeCell ref="L12:Q12"/>
    <mergeCell ref="M13:P13"/>
    <mergeCell ref="L18:Q18"/>
    <mergeCell ref="M19:P19"/>
    <mergeCell ref="K1:R1"/>
    <mergeCell ref="L7:Q7"/>
    <mergeCell ref="M8:P8"/>
    <mergeCell ref="A1:E1"/>
    <mergeCell ref="A7:D7"/>
    <mergeCell ref="A12:D12"/>
    <mergeCell ref="A18:D18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2025-11-13T03:49:57Z</dcterms:created>
  <dcterms:modified xsi:type="dcterms:W3CDTF">2025-11-13T07:10:23Z</dcterms:modified>
</cp:coreProperties>
</file>